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hanchanokkinra/Documents/PaiNamNaeWebApp/Sprint_Backlog/"/>
    </mc:Choice>
  </mc:AlternateContent>
  <xr:revisionPtr revIDLastSave="0" documentId="8_{82830073-C341-C642-8BF2-D293972D2DD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chart.v2.0" hidden="1">Sheet1!$G$36:$K$36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I36" i="1"/>
  <c r="H36" i="1"/>
  <c r="G36" i="1"/>
  <c r="L32" i="1"/>
  <c r="K31" i="1"/>
  <c r="J31" i="1"/>
  <c r="I31" i="1"/>
  <c r="H31" i="1"/>
  <c r="G31" i="1"/>
  <c r="L26" i="1"/>
  <c r="K25" i="1"/>
  <c r="J25" i="1"/>
  <c r="I25" i="1"/>
  <c r="H25" i="1"/>
  <c r="G25" i="1"/>
  <c r="L19" i="1"/>
  <c r="K18" i="1"/>
  <c r="J18" i="1"/>
  <c r="I18" i="1"/>
  <c r="H18" i="1"/>
  <c r="G18" i="1"/>
  <c r="L12" i="1"/>
  <c r="K11" i="1"/>
  <c r="J11" i="1"/>
  <c r="I11" i="1"/>
  <c r="H11" i="1"/>
  <c r="G11" i="1"/>
  <c r="L3" i="1"/>
  <c r="G37" i="1" a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<sst xmlns="http://schemas.openxmlformats.org/spreadsheetml/2006/main" count="86" uniqueCount="48">
  <si>
    <t>New Estimate of Effort Remaining at The End of Day...</t>
  </si>
  <si>
    <t>Sprint NO.</t>
  </si>
  <si>
    <t>Card NO.</t>
  </si>
  <si>
    <t>Product Backlog Item</t>
  </si>
  <si>
    <t>Sprint Tasks</t>
  </si>
  <si>
    <t>Volunteer</t>
  </si>
  <si>
    <t xml:space="preserve">Intitial Estimate of Effort </t>
  </si>
  <si>
    <t>Team Velocity</t>
  </si>
  <si>
    <t>As an admin, I want to keep the users updated on their reported incidents.</t>
  </si>
  <si>
    <t>ออกแบบโครงสร้างข้อมูล Incident รองรับประเภทเหตุ รายละเอียด อีเมล และไฟล์แนบ</t>
  </si>
  <si>
    <t>นายณัฐนันท์ ขำสม</t>
  </si>
  <si>
    <t>พัฒนาแบบฟอร์มหน้า Report Incident พร้อม Dropdown และช่องกรอกข้อมูล</t>
  </si>
  <si>
    <t>พัฒนา API บันทึก Incident ลงฐานข้อมูล</t>
  </si>
  <si>
    <t>เพิ่ม Validation และตรวจสอบสิทธิ์ Login ก่อนแจ้งเหตุ</t>
  </si>
  <si>
    <t>พัฒนา API ให้ผู้ใช้ดูรายการและรายละเอียดเคสของตนเอง</t>
  </si>
  <si>
    <t>พัฒนา API สำหรับ Admin อัปเดตสถานะ Incident</t>
  </si>
  <si>
    <t>ทดสอบกระบวนการแจ้งเหตุและติดตามสถานะด้วย Robot Framework</t>
  </si>
  <si>
    <t>นายอภิวิชญ์ นรารัมย์</t>
  </si>
  <si>
    <t>แก้ไขข้อผิดพลาดที่พบจากการทดสอบ</t>
  </si>
  <si>
    <t>Effort Remaining</t>
  </si>
  <si>
    <t>As a driver, I want to report incidents to the admin and get the update on the filed case.</t>
  </si>
  <si>
    <t>ออกแบบโครงสร้างข้อมูล Incident</t>
  </si>
  <si>
    <t>พัฒนาแบบฟอร์ม Report Incident</t>
  </si>
  <si>
    <t>เพิ่มการตรวจสอบสิทธิ์ Login ก่อนแจ้งเหตุ</t>
  </si>
  <si>
    <t>พัฒนา API ให้ Driver ดูรายการและรายละเอียดเคสของตนเอง</t>
  </si>
  <si>
    <t>เขียน Robot Framework ทดสอบการแจ้งเหตุและการติดตามสถานะ</t>
  </si>
  <si>
    <t>นายนภัสกร ชัยเกตุ</t>
  </si>
  <si>
    <t>As a passenger, I want to report the driver behavior to the admin and get the update on the filed case.</t>
  </si>
  <si>
    <t>ออกแบบโครงสร้างข้อมูลรองรับการรายงานพฤติกรรมคนขับ</t>
  </si>
  <si>
    <t>พัฒนาแบบฟอร์ม Report Driver Behavior</t>
  </si>
  <si>
    <t>พัฒนา API บันทึกข้อมูลรายงานลงฐานข้อมูล</t>
  </si>
  <si>
    <t>พัฒนา API ให้ Passenger ดูรายการและรายละเอียดเคสของตนเอง</t>
  </si>
  <si>
    <t xml:space="preserve">นางสาวสุจิรา พลอาษา </t>
  </si>
  <si>
    <t>As a user, I want my account and information to be removed from the system when I am no longer want to be apart of this community.</t>
  </si>
  <si>
    <t>ออกแบบโครงสร้างข้อมูลรองรับ Soft Delete (90 วัน)</t>
  </si>
  <si>
    <t>นายธนวินท์ พลค้อ</t>
  </si>
  <si>
    <t>พัฒนาปุ่ม “ลบบัญชีของฉัน” พร้อมหน้าต่างยืนยัน</t>
  </si>
  <si>
    <t>พัฒนา API ลบบัญชีแบบ Soft Delete</t>
  </si>
  <si>
    <t>เพิ่มการตรวจสอบสิทธิ์และบล็อกผู้ใช้หลังลบ</t>
  </si>
  <si>
    <t>เขียน Robot Framework ทดสอบการลบบัญชี</t>
  </si>
  <si>
    <t>นายพริษฐ์ ธรรมสอน</t>
  </si>
  <si>
    <t xml:space="preserve">Documentation </t>
  </si>
  <si>
    <t>A-DAPT Blueprint</t>
  </si>
  <si>
    <t>นางสาวธัญชนก กินรา</t>
  </si>
  <si>
    <t>Test report</t>
  </si>
  <si>
    <t>User manual</t>
  </si>
  <si>
    <t>Change log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</si>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</sst>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 6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Sheet1!$G$11:$K$11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9-4644-8FD9-5D3FB9F8A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2954880"/>
        <c:axId val="352952192"/>
      </c:lineChart>
      <c:catAx>
        <c:axId val="35295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2952192"/>
        <c:crosses val="autoZero"/>
        <c:auto val="1"/>
        <c:lblAlgn val="ctr"/>
        <c:lblOffset val="100"/>
        <c:noMultiLvlLbl val="0"/>
      </c:catAx>
      <c:valAx>
        <c:axId val="352952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295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No.11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Sheet1!$G$18:$K$18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C-9F43-AC19-672FD067C3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372672"/>
        <c:axId val="353390080"/>
      </c:lineChart>
      <c:catAx>
        <c:axId val="36137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3390080"/>
        <c:crosses val="autoZero"/>
        <c:auto val="1"/>
        <c:lblAlgn val="ctr"/>
        <c:lblOffset val="100"/>
        <c:noMultiLvlLbl val="0"/>
      </c:catAx>
      <c:valAx>
        <c:axId val="3533900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137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No.13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Sheet1!$G$25:$K$25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F-1846-A032-37F05C6804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521472"/>
        <c:axId val="361521920"/>
      </c:lineChart>
      <c:catAx>
        <c:axId val="3615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61521920"/>
        <c:crosses val="autoZero"/>
        <c:auto val="1"/>
        <c:lblAlgn val="ctr"/>
        <c:lblOffset val="100"/>
        <c:noMultiLvlLbl val="0"/>
      </c:catAx>
      <c:valAx>
        <c:axId val="361521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152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</a:t>
            </a:r>
            <a:r>
              <a:rPr lang="en-US" baseline="0"/>
              <a:t> No.16</a:t>
            </a:r>
          </a:p>
          <a:p>
            <a:pPr>
              <a:defRPr/>
            </a:pP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Sheet1!$G$31:$K$31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D-0440-90A4-3487A6574B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2907968"/>
        <c:axId val="370641984"/>
      </c:lineChart>
      <c:catAx>
        <c:axId val="3529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0641984"/>
        <c:crosses val="autoZero"/>
        <c:auto val="1"/>
        <c:lblAlgn val="ctr"/>
        <c:lblOffset val="100"/>
        <c:noMultiLvlLbl val="0"/>
      </c:catAx>
      <c:valAx>
        <c:axId val="3706419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29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Documentation 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Sheet1!$G$36:$K$36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D-0A46-8604-4AC4FBBF8D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7885503"/>
        <c:axId val="353360896"/>
      </c:lineChart>
      <c:catAx>
        <c:axId val="195788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3360896"/>
        <c:crosses val="autoZero"/>
        <c:auto val="1"/>
        <c:lblAlgn val="ctr"/>
        <c:lblOffset val="100"/>
        <c:noMultiLvlLbl val="0"/>
      </c:catAx>
      <c:valAx>
        <c:axId val="3533608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788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408368</xdr:colOff>
      <xdr:row>38</xdr:row>
      <xdr:rowOff>63858</xdr:rowOff>
    </xdr:from>
    <xdr:to>
      <xdr:col>3</xdr:col>
      <xdr:colOff>2539106</xdr:colOff>
      <xdr:row>53</xdr:row>
      <xdr:rowOff>83534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6698DB5-2D75-EE8D-0C67-FC905D37E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490940</xdr:colOff>
      <xdr:row>56</xdr:row>
      <xdr:rowOff>59520</xdr:rowOff>
    </xdr:from>
    <xdr:to>
      <xdr:col>3</xdr:col>
      <xdr:colOff>2617716</xdr:colOff>
      <xdr:row>72</xdr:row>
      <xdr:rowOff>73168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FB141FD-4755-417F-AAC6-3A32F7B41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574466</xdr:colOff>
      <xdr:row>74</xdr:row>
      <xdr:rowOff>112045</xdr:rowOff>
    </xdr:from>
    <xdr:to>
      <xdr:col>3</xdr:col>
      <xdr:colOff>2713289</xdr:colOff>
      <xdr:row>91</xdr:row>
      <xdr:rowOff>30386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432EC1D-01CF-9D3B-EC39-9FA8D33E4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616010</xdr:colOff>
      <xdr:row>92</xdr:row>
      <xdr:rowOff>88307</xdr:rowOff>
    </xdr:from>
    <xdr:to>
      <xdr:col>3</xdr:col>
      <xdr:colOff>2754833</xdr:colOff>
      <xdr:row>109</xdr:row>
      <xdr:rowOff>6647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64F947D6-29A7-6BEA-0F67-33E73087A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693158</xdr:colOff>
      <xdr:row>110</xdr:row>
      <xdr:rowOff>64567</xdr:rowOff>
    </xdr:from>
    <xdr:to>
      <xdr:col>3</xdr:col>
      <xdr:colOff>2831981</xdr:colOff>
      <xdr:row>126</xdr:row>
      <xdr:rowOff>149076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652B2D6-FE87-C6C7-B7E8-E8FCECC5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3"/>
  <sheetViews>
    <sheetView tabSelected="1" topLeftCell="D19" zoomScale="114" workbookViewId="0">
      <selection activeCell="M97" sqref="M97"/>
    </sheetView>
  </sheetViews>
  <sheetFormatPr baseColWidth="10" defaultColWidth="12.6640625" defaultRowHeight="15.75" customHeight="1" x14ac:dyDescent="0.15"/>
  <cols>
    <col min="3" max="3" width="32" customWidth="1"/>
    <col min="4" max="4" width="41.5" customWidth="1"/>
    <col min="5" max="5" width="26.6640625" customWidth="1"/>
    <col min="7" max="7" width="15.6640625" customWidth="1"/>
  </cols>
  <sheetData>
    <row r="1" spans="1:28" ht="15.75" customHeight="1" x14ac:dyDescent="0.15">
      <c r="A1" s="1"/>
      <c r="B1" s="1"/>
      <c r="C1" s="2"/>
      <c r="D1" s="2"/>
      <c r="E1" s="2"/>
      <c r="F1" s="2"/>
      <c r="G1" s="7" t="s">
        <v>0</v>
      </c>
      <c r="H1" s="8"/>
      <c r="I1" s="8"/>
      <c r="J1" s="8"/>
      <c r="K1" s="9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 t="s">
        <v>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0" customHeight="1" x14ac:dyDescent="0.15">
      <c r="A3" s="2">
        <v>1</v>
      </c>
      <c r="B3" s="2">
        <v>6</v>
      </c>
      <c r="C3" s="3" t="s">
        <v>8</v>
      </c>
      <c r="D3" s="4" t="s">
        <v>9</v>
      </c>
      <c r="E3" s="5" t="s">
        <v>10</v>
      </c>
      <c r="F3" s="5">
        <v>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10">
        <f>SUM(F3:F10)</f>
        <v>20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43" customHeight="1" x14ac:dyDescent="0.15">
      <c r="A4" s="2"/>
      <c r="B4" s="2"/>
      <c r="C4" s="2"/>
      <c r="D4" s="6" t="s">
        <v>11</v>
      </c>
      <c r="E4" s="5" t="s">
        <v>10</v>
      </c>
      <c r="F4" s="5">
        <v>3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15">
      <c r="A5" s="2"/>
      <c r="B5" s="2"/>
      <c r="C5" s="2"/>
      <c r="D5" s="5" t="s">
        <v>12</v>
      </c>
      <c r="E5" s="5" t="s">
        <v>10</v>
      </c>
      <c r="F5" s="5">
        <v>3</v>
      </c>
      <c r="G5" s="5">
        <v>3</v>
      </c>
      <c r="H5" s="5">
        <v>3</v>
      </c>
      <c r="I5" s="5">
        <v>3</v>
      </c>
      <c r="J5" s="5">
        <v>0</v>
      </c>
      <c r="K5" s="5">
        <v>0</v>
      </c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15">
      <c r="A6" s="2"/>
      <c r="B6" s="2"/>
      <c r="C6" s="2"/>
      <c r="D6" s="5" t="s">
        <v>13</v>
      </c>
      <c r="E6" s="5" t="s">
        <v>10</v>
      </c>
      <c r="F6" s="5">
        <v>2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15">
      <c r="A7" s="2"/>
      <c r="B7" s="2"/>
      <c r="C7" s="2"/>
      <c r="D7" s="5" t="s">
        <v>14</v>
      </c>
      <c r="E7" s="5" t="s">
        <v>10</v>
      </c>
      <c r="F7" s="5">
        <v>3</v>
      </c>
      <c r="G7" s="5">
        <v>3</v>
      </c>
      <c r="H7" s="5">
        <v>3</v>
      </c>
      <c r="I7" s="5">
        <v>3</v>
      </c>
      <c r="J7" s="5">
        <v>0</v>
      </c>
      <c r="K7" s="5">
        <v>0</v>
      </c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15">
      <c r="A8" s="2"/>
      <c r="B8" s="2"/>
      <c r="C8" s="2"/>
      <c r="D8" s="5" t="s">
        <v>15</v>
      </c>
      <c r="E8" s="5" t="s">
        <v>10</v>
      </c>
      <c r="F8" s="5">
        <v>2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3" customHeight="1" x14ac:dyDescent="0.15">
      <c r="A9" s="2"/>
      <c r="B9" s="2"/>
      <c r="C9" s="2"/>
      <c r="D9" s="6" t="s">
        <v>16</v>
      </c>
      <c r="E9" s="5" t="s">
        <v>17</v>
      </c>
      <c r="F9" s="5">
        <v>2</v>
      </c>
      <c r="G9" s="5">
        <v>2</v>
      </c>
      <c r="H9" s="5">
        <v>2</v>
      </c>
      <c r="I9" s="5">
        <v>2</v>
      </c>
      <c r="J9" s="5">
        <v>0</v>
      </c>
      <c r="K9" s="5">
        <v>0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15">
      <c r="A10" s="2"/>
      <c r="B10" s="2"/>
      <c r="C10" s="2"/>
      <c r="D10" s="5" t="s">
        <v>18</v>
      </c>
      <c r="E10" s="5" t="s">
        <v>17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4" customHeight="1" x14ac:dyDescent="0.15">
      <c r="A11" s="2"/>
      <c r="B11" s="2"/>
      <c r="C11" s="2"/>
      <c r="D11" s="5"/>
      <c r="E11" s="2"/>
      <c r="F11" s="3" t="s">
        <v>19</v>
      </c>
      <c r="G11" s="5">
        <f t="shared" ref="G11:K11" si="0">SUM(G3:G10)</f>
        <v>20</v>
      </c>
      <c r="H11" s="5">
        <f t="shared" si="0"/>
        <v>16</v>
      </c>
      <c r="I11" s="5">
        <f t="shared" si="0"/>
        <v>8</v>
      </c>
      <c r="J11" s="5">
        <f t="shared" si="0"/>
        <v>0</v>
      </c>
      <c r="K11" s="5">
        <f t="shared" si="0"/>
        <v>0</v>
      </c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8" customHeight="1" x14ac:dyDescent="0.15">
      <c r="A12" s="2">
        <v>1</v>
      </c>
      <c r="B12" s="2">
        <v>11</v>
      </c>
      <c r="C12" s="3" t="s">
        <v>20</v>
      </c>
      <c r="D12" s="5" t="s">
        <v>21</v>
      </c>
      <c r="E12" s="5" t="s">
        <v>10</v>
      </c>
      <c r="F12" s="5">
        <v>4</v>
      </c>
      <c r="G12" s="5">
        <v>4</v>
      </c>
      <c r="H12" s="5">
        <v>4</v>
      </c>
      <c r="I12" s="5">
        <v>0</v>
      </c>
      <c r="J12" s="5">
        <v>0</v>
      </c>
      <c r="K12" s="5">
        <v>0</v>
      </c>
      <c r="L12" s="10">
        <f>SUM(F12:F17)</f>
        <v>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15">
      <c r="A13" s="2"/>
      <c r="B13" s="2"/>
      <c r="C13" s="3"/>
      <c r="D13" s="5" t="s">
        <v>22</v>
      </c>
      <c r="E13" s="5" t="s">
        <v>10</v>
      </c>
      <c r="F13" s="5">
        <v>3</v>
      </c>
      <c r="G13" s="5">
        <v>3</v>
      </c>
      <c r="H13" s="5">
        <v>3</v>
      </c>
      <c r="I13" s="5">
        <v>0</v>
      </c>
      <c r="J13" s="5">
        <v>0</v>
      </c>
      <c r="K13" s="5">
        <v>0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15">
      <c r="A14" s="2"/>
      <c r="B14" s="2"/>
      <c r="C14" s="3"/>
      <c r="D14" s="5" t="s">
        <v>12</v>
      </c>
      <c r="E14" s="5" t="s">
        <v>10</v>
      </c>
      <c r="F14" s="5">
        <v>3</v>
      </c>
      <c r="G14" s="5">
        <v>3</v>
      </c>
      <c r="H14" s="5">
        <v>3</v>
      </c>
      <c r="I14" s="5">
        <v>3</v>
      </c>
      <c r="J14" s="5">
        <v>0</v>
      </c>
      <c r="K14" s="5">
        <v>0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15">
      <c r="A15" s="2"/>
      <c r="B15" s="2"/>
      <c r="C15" s="3"/>
      <c r="D15" s="5" t="s">
        <v>23</v>
      </c>
      <c r="E15" s="5" t="s">
        <v>10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2" customHeight="1" x14ac:dyDescent="0.15">
      <c r="A16" s="2"/>
      <c r="B16" s="2"/>
      <c r="C16" s="3"/>
      <c r="D16" s="6" t="s">
        <v>24</v>
      </c>
      <c r="E16" s="5" t="s">
        <v>10</v>
      </c>
      <c r="F16" s="5">
        <v>3</v>
      </c>
      <c r="G16" s="5">
        <v>3</v>
      </c>
      <c r="H16" s="5">
        <v>3</v>
      </c>
      <c r="I16" s="5">
        <v>3</v>
      </c>
      <c r="J16" s="5">
        <v>0</v>
      </c>
      <c r="K16" s="5">
        <v>0</v>
      </c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" customHeight="1" x14ac:dyDescent="0.15">
      <c r="A17" s="2"/>
      <c r="B17" s="2"/>
      <c r="C17" s="3"/>
      <c r="D17" s="6" t="s">
        <v>25</v>
      </c>
      <c r="E17" s="5" t="s">
        <v>26</v>
      </c>
      <c r="F17" s="5">
        <v>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44" customHeight="1" x14ac:dyDescent="0.15">
      <c r="A18" s="2"/>
      <c r="B18" s="2"/>
      <c r="C18" s="3"/>
      <c r="D18" s="6"/>
      <c r="E18" s="2"/>
      <c r="F18" s="3" t="s">
        <v>19</v>
      </c>
      <c r="G18" s="5">
        <f t="shared" ref="G18:K18" si="1">SUM(G12:G17)</f>
        <v>17</v>
      </c>
      <c r="H18" s="5">
        <f t="shared" si="1"/>
        <v>15</v>
      </c>
      <c r="I18" s="5">
        <f t="shared" si="1"/>
        <v>6</v>
      </c>
      <c r="J18" s="5">
        <f t="shared" si="1"/>
        <v>0</v>
      </c>
      <c r="K18" s="5">
        <f t="shared" si="1"/>
        <v>0</v>
      </c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40" customHeight="1" x14ac:dyDescent="0.15">
      <c r="A19" s="2">
        <v>1</v>
      </c>
      <c r="B19" s="2">
        <v>13</v>
      </c>
      <c r="C19" s="3" t="s">
        <v>27</v>
      </c>
      <c r="D19" s="5" t="s">
        <v>28</v>
      </c>
      <c r="E19" s="5" t="s">
        <v>10</v>
      </c>
      <c r="F19" s="5">
        <v>4</v>
      </c>
      <c r="G19" s="5">
        <v>4</v>
      </c>
      <c r="H19" s="5">
        <v>4</v>
      </c>
      <c r="I19" s="5">
        <v>0</v>
      </c>
      <c r="J19" s="5">
        <v>0</v>
      </c>
      <c r="K19" s="5">
        <v>0</v>
      </c>
      <c r="L19" s="10">
        <f>SUM(F19:F24)</f>
        <v>17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15">
      <c r="A20" s="2"/>
      <c r="B20" s="2"/>
      <c r="C20" s="3"/>
      <c r="D20" s="5" t="s">
        <v>29</v>
      </c>
      <c r="E20" s="5" t="s">
        <v>10</v>
      </c>
      <c r="F20" s="5">
        <v>3</v>
      </c>
      <c r="G20" s="5">
        <v>3</v>
      </c>
      <c r="H20" s="5">
        <v>3</v>
      </c>
      <c r="I20" s="5">
        <v>0</v>
      </c>
      <c r="J20" s="5">
        <v>0</v>
      </c>
      <c r="K20" s="5">
        <v>0</v>
      </c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15">
      <c r="A21" s="2"/>
      <c r="B21" s="2"/>
      <c r="C21" s="3"/>
      <c r="D21" s="5" t="s">
        <v>30</v>
      </c>
      <c r="E21" s="5" t="s">
        <v>10</v>
      </c>
      <c r="F21" s="5">
        <v>3</v>
      </c>
      <c r="G21" s="5">
        <v>3</v>
      </c>
      <c r="H21" s="5">
        <v>3</v>
      </c>
      <c r="I21" s="5">
        <v>3</v>
      </c>
      <c r="J21" s="5">
        <v>0</v>
      </c>
      <c r="K21" s="5">
        <v>0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15">
      <c r="A22" s="2"/>
      <c r="B22" s="2"/>
      <c r="C22" s="3"/>
      <c r="D22" s="5" t="s">
        <v>23</v>
      </c>
      <c r="E22" s="5" t="s">
        <v>10</v>
      </c>
      <c r="F22" s="5">
        <v>2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2" customHeight="1" x14ac:dyDescent="0.15">
      <c r="A23" s="2"/>
      <c r="B23" s="2"/>
      <c r="C23" s="3"/>
      <c r="D23" s="6" t="s">
        <v>31</v>
      </c>
      <c r="E23" s="5" t="s">
        <v>32</v>
      </c>
      <c r="F23" s="5">
        <v>3</v>
      </c>
      <c r="G23" s="5">
        <v>3</v>
      </c>
      <c r="H23" s="5">
        <v>3</v>
      </c>
      <c r="I23" s="5">
        <v>3</v>
      </c>
      <c r="J23" s="5">
        <v>0</v>
      </c>
      <c r="K23" s="5">
        <v>0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4" customHeight="1" x14ac:dyDescent="0.15">
      <c r="A24" s="2"/>
      <c r="B24" s="2"/>
      <c r="C24" s="3"/>
      <c r="D24" s="6" t="s">
        <v>25</v>
      </c>
      <c r="E24" s="5" t="s">
        <v>32</v>
      </c>
      <c r="F24" s="5">
        <v>2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2" customHeight="1" x14ac:dyDescent="0.15">
      <c r="A25" s="2"/>
      <c r="B25" s="2"/>
      <c r="C25" s="3"/>
      <c r="D25" s="6"/>
      <c r="E25" s="2"/>
      <c r="F25" s="3" t="s">
        <v>19</v>
      </c>
      <c r="G25" s="5">
        <f t="shared" ref="G25:K25" si="2">SUM(G19:G24)</f>
        <v>17</v>
      </c>
      <c r="H25" s="5">
        <f t="shared" si="2"/>
        <v>15</v>
      </c>
      <c r="I25" s="5">
        <f t="shared" si="2"/>
        <v>6</v>
      </c>
      <c r="J25" s="5">
        <f t="shared" si="2"/>
        <v>0</v>
      </c>
      <c r="K25" s="5">
        <f t="shared" si="2"/>
        <v>0</v>
      </c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64" customHeight="1" x14ac:dyDescent="0.15">
      <c r="A26" s="2">
        <v>1</v>
      </c>
      <c r="B26" s="2">
        <v>16</v>
      </c>
      <c r="C26" s="3" t="s">
        <v>33</v>
      </c>
      <c r="D26" s="5" t="s">
        <v>34</v>
      </c>
      <c r="E26" s="5" t="s">
        <v>35</v>
      </c>
      <c r="F26" s="5">
        <v>4</v>
      </c>
      <c r="G26" s="5">
        <v>4</v>
      </c>
      <c r="H26" s="5">
        <v>4</v>
      </c>
      <c r="I26" s="5">
        <v>0</v>
      </c>
      <c r="J26" s="5">
        <v>0</v>
      </c>
      <c r="K26" s="5">
        <v>0</v>
      </c>
      <c r="L26" s="10">
        <f>SUM(F26:F30)</f>
        <v>14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2"/>
      <c r="B27" s="2"/>
      <c r="C27" s="2"/>
      <c r="D27" s="5" t="s">
        <v>36</v>
      </c>
      <c r="E27" s="5" t="s">
        <v>35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15">
      <c r="A28" s="2"/>
      <c r="B28" s="2"/>
      <c r="C28" s="2"/>
      <c r="D28" s="5" t="s">
        <v>37</v>
      </c>
      <c r="E28" s="5" t="s">
        <v>35</v>
      </c>
      <c r="F28" s="5">
        <v>3</v>
      </c>
      <c r="G28" s="5">
        <v>3</v>
      </c>
      <c r="H28" s="5">
        <v>3</v>
      </c>
      <c r="I28" s="5">
        <v>3</v>
      </c>
      <c r="J28" s="5">
        <v>0</v>
      </c>
      <c r="K28" s="5">
        <v>0</v>
      </c>
      <c r="L28" s="1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15">
      <c r="A29" s="2"/>
      <c r="B29" s="2"/>
      <c r="C29" s="2"/>
      <c r="D29" s="5" t="s">
        <v>38</v>
      </c>
      <c r="E29" s="5" t="s">
        <v>35</v>
      </c>
      <c r="F29" s="5">
        <v>3</v>
      </c>
      <c r="G29" s="5">
        <v>3</v>
      </c>
      <c r="H29" s="5">
        <v>3</v>
      </c>
      <c r="I29" s="5">
        <v>3</v>
      </c>
      <c r="J29" s="5">
        <v>0</v>
      </c>
      <c r="K29" s="5">
        <v>0</v>
      </c>
      <c r="L29" s="1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15">
      <c r="A30" s="2"/>
      <c r="B30" s="2"/>
      <c r="C30" s="2"/>
      <c r="D30" s="5" t="s">
        <v>39</v>
      </c>
      <c r="E30" s="5" t="s">
        <v>40</v>
      </c>
      <c r="F30" s="5">
        <v>2</v>
      </c>
      <c r="G30" s="5">
        <v>2</v>
      </c>
      <c r="H30" s="5">
        <v>2</v>
      </c>
      <c r="I30" s="5">
        <v>2</v>
      </c>
      <c r="J30" s="5">
        <v>0</v>
      </c>
      <c r="K30" s="5">
        <v>0</v>
      </c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9" customHeight="1" x14ac:dyDescent="0.15">
      <c r="A31" s="2"/>
      <c r="B31" s="2"/>
      <c r="C31" s="2"/>
      <c r="D31" s="5"/>
      <c r="E31" s="2"/>
      <c r="F31" s="3" t="s">
        <v>19</v>
      </c>
      <c r="G31" s="5">
        <f t="shared" ref="G31:K31" si="3">SUM(G26:G30)</f>
        <v>14</v>
      </c>
      <c r="H31" s="5">
        <f t="shared" si="3"/>
        <v>14</v>
      </c>
      <c r="I31" s="5">
        <f t="shared" si="3"/>
        <v>8</v>
      </c>
      <c r="J31" s="5">
        <f t="shared" si="3"/>
        <v>0</v>
      </c>
      <c r="K31" s="5">
        <f t="shared" si="3"/>
        <v>0</v>
      </c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15">
      <c r="A32" s="2">
        <v>1</v>
      </c>
      <c r="B32" s="2"/>
      <c r="C32" s="2" t="s">
        <v>41</v>
      </c>
      <c r="D32" s="2" t="s">
        <v>42</v>
      </c>
      <c r="E32" s="5" t="s">
        <v>43</v>
      </c>
      <c r="F32" s="5">
        <v>3</v>
      </c>
      <c r="G32" s="5">
        <v>3</v>
      </c>
      <c r="H32" s="5">
        <v>3</v>
      </c>
      <c r="I32" s="5">
        <v>3</v>
      </c>
      <c r="J32" s="5">
        <v>0</v>
      </c>
      <c r="K32" s="5">
        <v>0</v>
      </c>
      <c r="L32" s="10">
        <f>SUM(F32:F35)</f>
        <v>14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15">
      <c r="A33" s="2"/>
      <c r="B33" s="2"/>
      <c r="C33" s="2"/>
      <c r="D33" s="2" t="s">
        <v>44</v>
      </c>
      <c r="E33" s="5" t="s">
        <v>17</v>
      </c>
      <c r="F33" s="5">
        <v>4</v>
      </c>
      <c r="G33" s="5">
        <v>4</v>
      </c>
      <c r="H33" s="5">
        <v>4</v>
      </c>
      <c r="I33" s="5">
        <v>0</v>
      </c>
      <c r="J33" s="5">
        <v>0</v>
      </c>
      <c r="K33" s="5">
        <v>0</v>
      </c>
      <c r="L33" s="1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15">
      <c r="A34" s="2"/>
      <c r="B34" s="2"/>
      <c r="C34" s="2"/>
      <c r="D34" s="2" t="s">
        <v>45</v>
      </c>
      <c r="E34" s="5" t="s">
        <v>43</v>
      </c>
      <c r="F34" s="5">
        <v>3</v>
      </c>
      <c r="G34" s="5">
        <v>3</v>
      </c>
      <c r="H34" s="5">
        <v>3</v>
      </c>
      <c r="I34" s="5">
        <v>0</v>
      </c>
      <c r="J34" s="5">
        <v>0</v>
      </c>
      <c r="K34" s="5">
        <v>0</v>
      </c>
      <c r="L34" s="1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15">
      <c r="A35" s="2"/>
      <c r="B35" s="2"/>
      <c r="C35" s="2"/>
      <c r="D35" s="2" t="s">
        <v>46</v>
      </c>
      <c r="E35" s="5" t="s">
        <v>26</v>
      </c>
      <c r="F35" s="5">
        <v>4</v>
      </c>
      <c r="G35" s="5">
        <v>4</v>
      </c>
      <c r="H35" s="5">
        <v>4</v>
      </c>
      <c r="I35" s="5">
        <v>0</v>
      </c>
      <c r="J35" s="5">
        <v>0</v>
      </c>
      <c r="K35" s="5">
        <v>0</v>
      </c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6" customHeight="1" x14ac:dyDescent="0.15">
      <c r="A36" s="2"/>
      <c r="B36" s="2"/>
      <c r="C36" s="2"/>
      <c r="D36" s="2"/>
      <c r="E36" s="2"/>
      <c r="F36" s="3" t="s">
        <v>19</v>
      </c>
      <c r="G36" s="5">
        <f t="shared" ref="G36:K36" si="4">SUM(G32:G35)</f>
        <v>14</v>
      </c>
      <c r="H36" s="5">
        <f t="shared" si="4"/>
        <v>14</v>
      </c>
      <c r="I36" s="5">
        <f t="shared" si="4"/>
        <v>3</v>
      </c>
      <c r="J36" s="5">
        <f t="shared" si="4"/>
        <v>0</v>
      </c>
      <c r="K36" s="5">
        <f t="shared" si="4"/>
        <v>0</v>
      </c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15">
      <c r="A37" s="1"/>
      <c r="B37" s="1"/>
      <c r="C37" s="1"/>
      <c r="D37" s="1"/>
      <c r="E37" s="1"/>
      <c r="F37" s="1"/>
      <c r="G37" s="1" cm="1">
        <f t="array" aca="1" ref="G37" ca="1">+E37:G65</f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15">
      <c r="A39" s="1"/>
      <c r="B39" s="1"/>
      <c r="C39" s="1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15">
      <c r="A40" s="1"/>
      <c r="B40" s="1"/>
      <c r="C40" s="1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7" customHeight="1" x14ac:dyDescent="0.15">
      <c r="A41" s="1"/>
      <c r="B41" s="1"/>
      <c r="C41" s="1"/>
      <c r="D41" s="1"/>
      <c r="E41" s="13" t="s">
        <v>47</v>
      </c>
      <c r="F41" s="16" t="s">
        <v>19</v>
      </c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15">
      <c r="A42" s="1"/>
      <c r="B42" s="1"/>
      <c r="C42" s="1"/>
      <c r="D42" s="1"/>
      <c r="E42" s="13">
        <v>1</v>
      </c>
      <c r="F42" s="14">
        <v>20</v>
      </c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15">
      <c r="A43" s="1"/>
      <c r="B43" s="1"/>
      <c r="C43" s="1"/>
      <c r="D43" s="1"/>
      <c r="E43" s="13">
        <v>2</v>
      </c>
      <c r="F43" s="13">
        <v>16</v>
      </c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15">
      <c r="A44" s="1"/>
      <c r="B44" s="1"/>
      <c r="C44" s="1"/>
      <c r="D44" s="1"/>
      <c r="E44" s="13">
        <v>3</v>
      </c>
      <c r="F44" s="13">
        <v>8</v>
      </c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15">
      <c r="A45" s="1"/>
      <c r="B45" s="1"/>
      <c r="C45" s="1"/>
      <c r="D45" s="1"/>
      <c r="E45" s="13">
        <v>4</v>
      </c>
      <c r="F45" s="13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x14ac:dyDescent="0.15">
      <c r="A46" s="1"/>
      <c r="B46" s="1"/>
      <c r="C46" s="1"/>
      <c r="D46" s="1"/>
      <c r="E46" s="13">
        <v>5</v>
      </c>
      <c r="F46" s="13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8" x14ac:dyDescent="0.15">
      <c r="A57" s="1"/>
      <c r="B57" s="1"/>
      <c r="C57" s="1"/>
      <c r="D57" s="1"/>
      <c r="E57" s="13" t="s">
        <v>47</v>
      </c>
      <c r="F57" s="16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13">
        <v>1</v>
      </c>
      <c r="F58" s="14">
        <v>17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13">
        <v>2</v>
      </c>
      <c r="F59" s="13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13">
        <v>3</v>
      </c>
      <c r="F60" s="13">
        <v>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13">
        <v>4</v>
      </c>
      <c r="F61" s="13"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13">
        <v>5</v>
      </c>
      <c r="F62" s="13"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8" x14ac:dyDescent="0.15">
      <c r="A76" s="1"/>
      <c r="B76" s="1"/>
      <c r="C76" s="1"/>
      <c r="D76" s="1"/>
      <c r="E76" s="13" t="s">
        <v>47</v>
      </c>
      <c r="F76" s="16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13">
        <v>1</v>
      </c>
      <c r="F77" s="14">
        <v>17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13">
        <v>2</v>
      </c>
      <c r="F78" s="13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13">
        <v>3</v>
      </c>
      <c r="F79" s="13"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13">
        <v>4</v>
      </c>
      <c r="F80" s="13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13">
        <v>5</v>
      </c>
      <c r="F81" s="13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8" x14ac:dyDescent="0.15">
      <c r="A94" s="1"/>
      <c r="B94" s="1"/>
      <c r="C94" s="1"/>
      <c r="D94" s="1"/>
      <c r="E94" s="13" t="s">
        <v>47</v>
      </c>
      <c r="F94" s="16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13">
        <v>1</v>
      </c>
      <c r="F95" s="14">
        <v>14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13">
        <v>2</v>
      </c>
      <c r="F96" s="13">
        <v>14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13">
        <v>3</v>
      </c>
      <c r="F97" s="13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13">
        <v>4</v>
      </c>
      <c r="F98" s="13"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13">
        <v>5</v>
      </c>
      <c r="F99" s="13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8" x14ac:dyDescent="0.15">
      <c r="A113" s="1"/>
      <c r="B113" s="1"/>
      <c r="C113" s="1"/>
      <c r="D113" s="1"/>
      <c r="E113" s="13" t="s">
        <v>47</v>
      </c>
      <c r="F113" s="16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13">
        <v>1</v>
      </c>
      <c r="F114" s="14">
        <v>14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13">
        <v>2</v>
      </c>
      <c r="F115" s="13">
        <v>14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13">
        <v>3</v>
      </c>
      <c r="F116" s="13">
        <v>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13">
        <v>4</v>
      </c>
      <c r="F117" s="13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13">
        <v>5</v>
      </c>
      <c r="F118" s="13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</sheetData>
  <mergeCells count="6">
    <mergeCell ref="L32:L35"/>
    <mergeCell ref="G1:K1"/>
    <mergeCell ref="L3:L10"/>
    <mergeCell ref="L12:L17"/>
    <mergeCell ref="L19:L24"/>
    <mergeCell ref="L26:L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Thanchanok  Kinra</cp:lastModifiedBy>
  <dcterms:created xsi:type="dcterms:W3CDTF">2026-02-18T15:35:39Z</dcterms:created>
  <dcterms:modified xsi:type="dcterms:W3CDTF">2026-02-18T16:09:03Z</dcterms:modified>
</cp:coreProperties>
</file>